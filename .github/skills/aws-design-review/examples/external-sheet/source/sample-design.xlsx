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VPC" sheetId="2" state="visible" r:id="rId2"/>
    <sheet xmlns:r="http://schemas.openxmlformats.org/officeDocument/2006/relationships" name="セキュリティグループ" sheetId="3" state="visible" r:id="rId3"/>
    <sheet xmlns:r="http://schemas.openxmlformats.org/officeDocument/2006/relationships" name="RDS" sheetId="4" state="visible" r:id="rId4"/>
    <sheet xmlns:r="http://schemas.openxmlformats.org/officeDocument/2006/relationships" name="運用" sheetId="5" state="visible" r:id="rId5"/>
    <sheet xmlns:r="http://schemas.openxmlformats.org/officeDocument/2006/relationships" name="選択肢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ネットワーク・データベース設計書（架空サンプル）</t>
        </is>
      </c>
    </row>
    <row r="4">
      <c r="B4" s="2" t="inlineStr">
        <is>
          <t>版数</t>
        </is>
      </c>
      <c r="C4" s="3" t="inlineStr">
        <is>
          <t>1.2</t>
        </is>
      </c>
    </row>
    <row r="5">
      <c r="B5" s="2" t="inlineStr">
        <is>
          <t>対象環境</t>
        </is>
      </c>
      <c r="C5" s="3" t="inlineStr">
        <is>
          <t>検証環境</t>
        </is>
      </c>
    </row>
    <row r="7">
      <c r="B7" t="inlineStr">
        <is>
          <t>■改版履歴</t>
        </is>
      </c>
    </row>
    <row r="8">
      <c r="B8" s="4" t="inlineStr">
        <is>
          <t>版数</t>
        </is>
      </c>
      <c r="C8" s="4" t="inlineStr">
        <is>
          <t>日付</t>
        </is>
      </c>
      <c r="D8" s="4" t="inlineStr">
        <is>
          <t>変更内容</t>
        </is>
      </c>
      <c r="E8" s="4" t="inlineStr">
        <is>
          <t>作成者</t>
        </is>
      </c>
    </row>
    <row r="9">
      <c r="B9" s="3" t="inlineStr">
        <is>
          <t>1.0</t>
        </is>
      </c>
      <c r="C9" s="3" t="inlineStr">
        <is>
          <t>2026/04/01</t>
        </is>
      </c>
      <c r="D9" s="3" t="inlineStr">
        <is>
          <t>初版</t>
        </is>
      </c>
      <c r="E9" s="3" t="inlineStr">
        <is>
          <t>設計担当A</t>
        </is>
      </c>
    </row>
    <row r="10">
      <c r="B10" s="3" t="inlineStr">
        <is>
          <t>1.1</t>
        </is>
      </c>
      <c r="C10" s="3" t="inlineStr">
        <is>
          <t>2026/05/10</t>
        </is>
      </c>
      <c r="D10" s="3" t="inlineStr">
        <is>
          <t>サブネット追加</t>
        </is>
      </c>
      <c r="E10" s="3" t="inlineStr">
        <is>
          <t>設計担当A</t>
        </is>
      </c>
    </row>
    <row r="11">
      <c r="B11" s="3" t="inlineStr">
        <is>
          <t>1.2</t>
        </is>
      </c>
      <c r="C11" s="3" t="inlineStr">
        <is>
          <t>2026/06/02</t>
        </is>
      </c>
      <c r="D11" s="3" t="inlineStr">
        <is>
          <t>RDS設定を追記</t>
        </is>
      </c>
      <c r="E11" s="3" t="inlineStr">
        <is>
          <t>設計担当B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■VPC</t>
        </is>
      </c>
    </row>
    <row r="3">
      <c r="B3" s="4" t="inlineStr">
        <is>
          <t>項目</t>
        </is>
      </c>
      <c r="C3" s="4" t="inlineStr">
        <is>
          <t>設定値</t>
        </is>
      </c>
      <c r="D3" s="4" t="inlineStr">
        <is>
          <t>備考</t>
        </is>
      </c>
    </row>
    <row r="4">
      <c r="B4" s="3" t="inlineStr">
        <is>
          <t>VPC名</t>
        </is>
      </c>
      <c r="C4" s="3" t="inlineStr">
        <is>
          <t>sample-vpc</t>
        </is>
      </c>
      <c r="D4" s="3" t="inlineStr"/>
    </row>
    <row r="5">
      <c r="B5" s="3" t="inlineStr">
        <is>
          <t>CIDR</t>
        </is>
      </c>
      <c r="C5" s="3" t="inlineStr">
        <is>
          <t>10.20.0.0/16</t>
        </is>
      </c>
      <c r="D5" s="3" t="inlineStr"/>
    </row>
    <row r="6">
      <c r="B6" s="3" t="inlineStr">
        <is>
          <t>DNSホスト名</t>
        </is>
      </c>
      <c r="C6" s="3" t="inlineStr">
        <is>
          <t>有効</t>
        </is>
      </c>
      <c r="D6" s="3" t="inlineStr"/>
    </row>
    <row r="7">
      <c r="B7" s="3" t="inlineStr">
        <is>
          <t>DNS解決</t>
        </is>
      </c>
      <c r="C7" s="3" t="inlineStr">
        <is>
          <t>有効</t>
        </is>
      </c>
      <c r="D7" s="3" t="inlineStr"/>
    </row>
    <row r="8">
      <c r="B8" s="3" t="inlineStr">
        <is>
          <t>テナンシー</t>
        </is>
      </c>
      <c r="C8" s="3" t="inlineStr">
        <is>
          <t>デフォルト</t>
        </is>
      </c>
      <c r="D8" s="3" t="inlineStr">
        <is>
          <t>※AWS既定値を使用</t>
        </is>
      </c>
    </row>
    <row r="9">
      <c r="B9" s="3" t="inlineStr">
        <is>
          <t>IPv6 CIDR</t>
        </is>
      </c>
      <c r="C9" s="3" t="inlineStr">
        <is>
          <t>未定</t>
        </is>
      </c>
      <c r="D9" s="3" t="inlineStr">
        <is>
          <t>次版で決定</t>
        </is>
      </c>
    </row>
    <row r="10">
      <c r="B10" s="3" t="inlineStr">
        <is>
          <t>Nameタグ</t>
        </is>
      </c>
      <c r="C10" s="3" t="str">
        <f>C4</f>
        <v>sample-vpc</v>
      </c>
      <c r="D10" s="3" t="inlineStr">
        <is>
          <t>VPC名と同じ</t>
        </is>
      </c>
    </row>
    <row r="12">
      <c r="B12" t="inlineStr">
        <is>
          <t>■サブネット</t>
        </is>
      </c>
    </row>
    <row r="13">
      <c r="B13" s="4" t="inlineStr">
        <is>
          <t>No</t>
        </is>
      </c>
      <c r="C13" s="4" t="inlineStr">
        <is>
          <t>サブネット名</t>
        </is>
      </c>
      <c r="D13" s="4" t="inlineStr">
        <is>
          <t>AZ</t>
        </is>
      </c>
      <c r="E13" s="4" t="inlineStr">
        <is>
          <t>CIDR</t>
        </is>
      </c>
      <c r="F13" s="4" t="inlineStr">
        <is>
          <t>種別</t>
        </is>
      </c>
      <c r="G13" s="4" t="inlineStr">
        <is>
          <t>備考</t>
        </is>
      </c>
    </row>
    <row r="14">
      <c r="B14" s="3" t="n">
        <v>1</v>
      </c>
      <c r="C14" s="3" t="inlineStr">
        <is>
          <t>public-a</t>
        </is>
      </c>
      <c r="D14" s="3" t="inlineStr">
        <is>
          <t>ap-northeast-1a</t>
        </is>
      </c>
      <c r="E14" s="3" t="inlineStr">
        <is>
          <t>10.20.0.0/24</t>
        </is>
      </c>
      <c r="F14" s="3" t="inlineStr">
        <is>
          <t>パブリック</t>
        </is>
      </c>
      <c r="G14" s="3" t="n"/>
    </row>
    <row r="15">
      <c r="B15" s="3" t="n">
        <v>2</v>
      </c>
      <c r="C15" s="3" t="inlineStr">
        <is>
          <t>private-a</t>
        </is>
      </c>
      <c r="D15" s="3" t="inlineStr">
        <is>
          <t>ap-northeast-1a</t>
        </is>
      </c>
      <c r="E15" s="3" t="inlineStr">
        <is>
          <t>10.20.10.0/24</t>
        </is>
      </c>
      <c r="F15" s="3" t="inlineStr">
        <is>
          <t>プライベート</t>
        </is>
      </c>
      <c r="G15" s="3" t="n"/>
    </row>
    <row r="16">
      <c r="B16" s="3" t="n">
        <v>3</v>
      </c>
      <c r="C16" s="3" t="inlineStr">
        <is>
          <t>private-c</t>
        </is>
      </c>
      <c r="D16" s="3" t="inlineStr">
        <is>
          <t>未定</t>
        </is>
      </c>
      <c r="E16" s="3" t="inlineStr">
        <is>
          <t>10.20.11.0/24</t>
        </is>
      </c>
      <c r="F16" s="3" t="inlineStr">
        <is>
          <t>プライベート</t>
        </is>
      </c>
      <c r="G16" s="3" t="inlineStr">
        <is>
          <t>AZは要調整</t>
        </is>
      </c>
    </row>
    <row r="18">
      <c r="B18" t="inlineStr">
        <is>
          <t>※空欄は記載なし。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sheetData>
    <row r="2">
      <c r="B2" t="inlineStr">
        <is>
          <t>■セキュリティグループ</t>
        </is>
      </c>
    </row>
    <row r="3">
      <c r="B3" s="4" t="inlineStr">
        <is>
          <t>SG名</t>
        </is>
      </c>
      <c r="C3" s="4" t="inlineStr">
        <is>
          <t>説明</t>
        </is>
      </c>
      <c r="D3" s="4" t="inlineStr">
        <is>
          <t>方向</t>
        </is>
      </c>
      <c r="E3" s="4" t="inlineStr">
        <is>
          <t>プロトコル</t>
        </is>
      </c>
      <c r="F3" s="4" t="inlineStr">
        <is>
          <t>ポート</t>
        </is>
      </c>
      <c r="G3" s="4" t="inlineStr">
        <is>
          <t>送信元／宛先</t>
        </is>
      </c>
      <c r="H3" s="4" t="inlineStr">
        <is>
          <t>備考</t>
        </is>
      </c>
    </row>
    <row r="4">
      <c r="B4" s="3" t="inlineStr">
        <is>
          <t>web-sg</t>
        </is>
      </c>
      <c r="C4" s="3" t="inlineStr">
        <is>
          <t>Webサーバー用</t>
        </is>
      </c>
      <c r="D4" s="3" t="inlineStr">
        <is>
          <t>インバウンド</t>
        </is>
      </c>
      <c r="E4" s="3" t="inlineStr">
        <is>
          <t>TCP</t>
        </is>
      </c>
      <c r="F4" s="3" t="inlineStr">
        <is>
          <t>443</t>
        </is>
      </c>
      <c r="G4" s="3" t="inlineStr">
        <is>
          <t>0.0.0.0/0</t>
        </is>
      </c>
      <c r="H4" s="3" t="inlineStr">
        <is>
          <t>HTTPS</t>
        </is>
      </c>
    </row>
    <row r="5">
      <c r="B5" s="5" t="n"/>
      <c r="C5" s="5" t="n"/>
      <c r="D5" s="3" t="inlineStr">
        <is>
          <t>インバウンド</t>
        </is>
      </c>
      <c r="E5" s="3" t="inlineStr">
        <is>
          <t>TCP</t>
        </is>
      </c>
      <c r="F5" s="3" t="inlineStr">
        <is>
          <t>80</t>
        </is>
      </c>
      <c r="G5" s="3" t="inlineStr">
        <is>
          <t>0.0.0.0/0</t>
        </is>
      </c>
      <c r="H5" s="3" t="inlineStr">
        <is>
          <t>リダイレクト用</t>
        </is>
      </c>
    </row>
    <row r="6">
      <c r="B6" s="6" t="n"/>
      <c r="C6" s="6" t="n"/>
      <c r="D6" s="3" t="inlineStr">
        <is>
          <t>アウトバウンド</t>
        </is>
      </c>
      <c r="E6" s="3" t="inlineStr">
        <is>
          <t>ALL</t>
        </is>
      </c>
      <c r="F6" s="3" t="inlineStr">
        <is>
          <t>－</t>
        </is>
      </c>
      <c r="G6" s="3" t="inlineStr">
        <is>
          <t>0.0.0.0/0</t>
        </is>
      </c>
      <c r="H6" s="3" t="n"/>
    </row>
    <row r="7">
      <c r="B7" s="3" t="inlineStr">
        <is>
          <t>db-sg</t>
        </is>
      </c>
      <c r="C7" s="3" t="inlineStr">
        <is>
          <t>DB用</t>
        </is>
      </c>
      <c r="D7" s="3" t="inlineStr">
        <is>
          <t>インバウンド</t>
        </is>
      </c>
      <c r="E7" s="3" t="inlineStr">
        <is>
          <t>TCP</t>
        </is>
      </c>
      <c r="F7" s="3" t="inlineStr">
        <is>
          <t>3306</t>
        </is>
      </c>
      <c r="G7" s="3" t="inlineStr">
        <is>
          <t>web-sg</t>
        </is>
      </c>
      <c r="H7" s="3" t="inlineStr">
        <is>
          <t>SG参照</t>
        </is>
      </c>
    </row>
    <row r="8">
      <c r="B8" s="6" t="n"/>
      <c r="C8" s="6" t="n"/>
      <c r="D8" s="3" t="inlineStr">
        <is>
          <t>アウトバウンド</t>
        </is>
      </c>
      <c r="E8" s="3" t="inlineStr">
        <is>
          <t>－</t>
        </is>
      </c>
      <c r="F8" s="3" t="inlineStr">
        <is>
          <t>－</t>
        </is>
      </c>
      <c r="G8" s="3" t="inlineStr">
        <is>
          <t>－</t>
        </is>
      </c>
      <c r="H8" s="3" t="inlineStr">
        <is>
          <t>既定ルールを削除</t>
        </is>
      </c>
    </row>
  </sheetData>
  <mergeCells count="4">
    <mergeCell ref="B4:B6"/>
    <mergeCell ref="B7:B8"/>
    <mergeCell ref="C7:C8"/>
    <mergeCell ref="C4:C6"/>
  </mergeCells>
  <dataValidations count="1">
    <dataValidation sqref="D4:D20" showDropDown="0" showInputMessage="0" showErrorMessage="0" allowBlank="1" type="list">
      <formula1>"インバウンド,アウトバウンド"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RDS Database Instance</t>
        </is>
      </c>
    </row>
    <row r="3">
      <c r="B3" s="4" t="inlineStr">
        <is>
          <t>Item</t>
        </is>
      </c>
      <c r="C3" s="4" t="inlineStr">
        <is>
          <t>Value</t>
        </is>
      </c>
      <c r="D3" s="4" t="inlineStr">
        <is>
          <t>Unit</t>
        </is>
      </c>
      <c r="E3" s="4" t="inlineStr">
        <is>
          <t>Note</t>
        </is>
      </c>
    </row>
    <row r="4">
      <c r="B4" s="3" t="inlineStr">
        <is>
          <t>DB Instance Identifier</t>
        </is>
      </c>
      <c r="C4" s="3" t="inlineStr">
        <is>
          <t>sample-db</t>
        </is>
      </c>
      <c r="D4" s="3" t="n"/>
      <c r="E4" s="3" t="n"/>
    </row>
    <row r="5">
      <c r="B5" s="3" t="inlineStr">
        <is>
          <t>Engine</t>
        </is>
      </c>
      <c r="C5" s="3" t="inlineStr">
        <is>
          <t>mysql</t>
        </is>
      </c>
      <c r="D5" s="3" t="n"/>
      <c r="E5" s="3" t="n"/>
    </row>
    <row r="6">
      <c r="B6" s="3" t="inlineStr">
        <is>
          <t>Engine Version</t>
        </is>
      </c>
      <c r="C6" s="3" t="inlineStr">
        <is>
          <t>8.0.35</t>
        </is>
      </c>
      <c r="D6" s="3" t="n"/>
      <c r="E6" s="3" t="n"/>
    </row>
    <row r="7">
      <c r="B7" s="3" t="inlineStr">
        <is>
          <t>Instance Class</t>
        </is>
      </c>
      <c r="C7" s="3" t="inlineStr">
        <is>
          <t>db.t3.medium</t>
        </is>
      </c>
      <c r="D7" s="3" t="n"/>
      <c r="E7" s="3" t="n"/>
    </row>
    <row r="8">
      <c r="B8" s="3" t="inlineStr">
        <is>
          <t>Allocated Storage</t>
        </is>
      </c>
      <c r="C8" s="3" t="n">
        <v>100</v>
      </c>
      <c r="D8" s="3" t="inlineStr">
        <is>
          <t>GB</t>
        </is>
      </c>
      <c r="E8" s="3" t="n"/>
    </row>
    <row r="9">
      <c r="B9" s="3" t="inlineStr">
        <is>
          <t>Multi-AZ</t>
        </is>
      </c>
      <c r="C9" s="3" t="inlineStr">
        <is>
          <t>Yes</t>
        </is>
      </c>
      <c r="D9" s="3" t="n"/>
      <c r="E9" s="3" t="n"/>
    </row>
    <row r="10">
      <c r="B10" s="3" t="inlineStr">
        <is>
          <t>Master Username</t>
        </is>
      </c>
      <c r="C10" s="3" t="inlineStr">
        <is>
          <t>admin_user</t>
        </is>
      </c>
      <c r="D10" s="3" t="n"/>
      <c r="E10" s="3" t="n"/>
    </row>
    <row r="11">
      <c r="B11" s="3" t="inlineStr">
        <is>
          <t>Master Password</t>
        </is>
      </c>
      <c r="C11" s="3" t="inlineStr">
        <is>
          <t>Canary-Pa55w0rd-7f3e9b</t>
        </is>
      </c>
      <c r="D11" s="3" t="n"/>
      <c r="E11" s="3" t="inlineStr">
        <is>
          <t>Move to Secrets Manager before release</t>
        </is>
      </c>
    </row>
    <row r="12">
      <c r="B12" s="3" t="inlineStr">
        <is>
          <t>Backup Retention</t>
        </is>
      </c>
      <c r="C12" s="3" t="n">
        <v>7</v>
      </c>
      <c r="D12" s="3" t="inlineStr">
        <is>
          <t>days</t>
        </is>
      </c>
      <c r="E12" s="3" t="n"/>
    </row>
    <row r="13">
      <c r="B13" s="3" t="inlineStr">
        <is>
          <t>Preferred Maintenance Window</t>
        </is>
      </c>
      <c r="C13" s="3" t="n"/>
      <c r="D13" s="3" t="n"/>
      <c r="E13" s="3" t="inlineStr">
        <is>
          <t>TBD with operations</t>
        </is>
      </c>
    </row>
    <row r="14">
      <c r="B14" s="3" t="inlineStr">
        <is>
          <t>Storage Encrypted</t>
        </is>
      </c>
      <c r="C14" s="3" t="inlineStr">
        <is>
          <t>N/A</t>
        </is>
      </c>
      <c r="D14" s="3" t="n"/>
      <c r="E14" s="3" t="inlineStr">
        <is>
          <t>Decided at account level</t>
        </is>
      </c>
    </row>
    <row r="15">
      <c r="B15" s="3" t="inlineStr">
        <is>
          <t>Max Allocated Storage</t>
        </is>
      </c>
      <c r="C15" s="3">
        <f>C8*2</f>
        <v>200</v>
      </c>
      <c r="D15" s="3" t="inlineStr">
        <is>
          <t>GB</t>
        </is>
      </c>
      <c r="E15" s="3" t="inlineStr">
        <is>
          <t>Twice the allocated storage</t>
        </is>
      </c>
    </row>
  </sheetData>
  <dataValidations count="1">
    <dataValidation sqref="C9" showDropDown="0" showInputMessage="0" showErrorMessage="0" allowBlank="1" type="list">
      <formula1>=選択肢!$A$1:$A$2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sheetData>
    <row r="2">
      <c r="B2" t="inlineStr">
        <is>
          <t>■運用</t>
        </is>
      </c>
    </row>
    <row r="3">
      <c r="B3" s="4" t="inlineStr">
        <is>
          <t>項目</t>
        </is>
      </c>
      <c r="C3" s="4" t="inlineStr">
        <is>
          <t>内容</t>
        </is>
      </c>
    </row>
    <row r="4">
      <c r="B4" s="3" t="inlineStr">
        <is>
          <t>監視担当</t>
        </is>
      </c>
      <c r="C4" s="3" t="inlineStr">
        <is>
          <t>運用チームA</t>
        </is>
      </c>
    </row>
    <row r="5">
      <c r="B5" s="3" t="inlineStr">
        <is>
          <t>障害連絡先</t>
        </is>
      </c>
      <c r="C5" s="3" t="inlineStr">
        <is>
          <t>運用窓口（架空）</t>
        </is>
      </c>
    </row>
    <row r="6">
      <c r="B6" s="3" t="inlineStr">
        <is>
          <t>バックアップ確認</t>
        </is>
      </c>
      <c r="C6" s="3" t="inlineStr">
        <is>
          <t>毎週月曜に取得結果を確認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  <row r="2">
      <c r="A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2026-10-19T11:09:34Z</dcterms:created>
  <dcterms:modified xmlns:dcterms="http://purl.org/dc/terms/" xmlns:xsi="http://www.w3.org/2001/XMLSchema-instance" xsi:type="dcterms:W3CDTF">2026-10-19T11:09:34Z</dcterms:modified>
</cp:coreProperties>
</file>